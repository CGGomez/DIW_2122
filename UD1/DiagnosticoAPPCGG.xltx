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29.png" ContentType="image/png"/>
  <Override PartName="/xl/media/image30.png" ContentType="image/png"/>
  <Override PartName="/xl/media/image31.png" ContentType="image/png"/>
  <Override PartName="/xl/media/image32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OS APP MÓVIL" sheetId="1" state="visible" r:id="rId2"/>
    <sheet name="1. Aspectos Generales" sheetId="2" state="visible" r:id="rId3"/>
    <sheet name="2. Estructura y Navegación" sheetId="3" state="visible" r:id="rId4"/>
    <sheet name="3. Rótulos de vistas" sheetId="4" state="visible" r:id="rId5"/>
    <sheet name="4. Layout" sheetId="5" state="visible" r:id="rId6"/>
    <sheet name="5. Lenguaje" sheetId="6" state="visible" r:id="rId7"/>
    <sheet name="6. Control" sheetId="7" state="visible" r:id="rId8"/>
    <sheet name="7. Elementos multimedia" sheetId="8" state="visible" r:id="rId9"/>
  </sheets>
  <externalReferences>
    <externalReference r:id="rId10"/>
  </externalReferences>
  <definedNames>
    <definedName function="false" hidden="false" name="Tipos" vbProcedure="false">[1]Valores!$E$5:$E$20</definedName>
    <definedName function="false" hidden="false" name="Valores1" vbProcedure="false">[1]Valores!$A$5:$A$16</definedName>
    <definedName function="false" hidden="false" name="Valores2" vbProcedure="false">[1]Valores!$C$5:$C$10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<sst xmlns="http://schemas.openxmlformats.org/spreadsheetml/2006/main" count="242" uniqueCount="168">
  <si>
    <t xml:space="preserve">Checklist para revisión de usabilidad de la app</t>
  </si>
  <si>
    <t xml:space="preserve">Diseño de Interfaces</t>
  </si>
  <si>
    <t xml:space="preserve">2º Desarrollo de Aplicaciones Web</t>
  </si>
  <si>
    <t xml:space="preserve">Profesor: Alejandro Cardo Grau</t>
  </si>
  <si>
    <t xml:space="preserve">DATOS GENERALES DE LA EVALUACIÓN</t>
  </si>
  <si>
    <t xml:space="preserve">Puntuaciones por Sección</t>
  </si>
  <si>
    <t xml:space="preserve">Total de “Si”</t>
  </si>
  <si>
    <t xml:space="preserve">Total de “No”</t>
  </si>
  <si>
    <t xml:space="preserve">Evaluador</t>
  </si>
  <si>
    <t xml:space="preserve">César Gómez Gómez</t>
  </si>
  <si>
    <t xml:space="preserve">1. Aspectos Generales</t>
  </si>
  <si>
    <t xml:space="preserve">Fecha de evaluación</t>
  </si>
  <si>
    <t xml:space="preserve">2. Estructura y Navegación</t>
  </si>
  <si>
    <t xml:space="preserve">App evaluada</t>
  </si>
  <si>
    <t xml:space="preserve">League+ (LoL+ en Google Play)</t>
  </si>
  <si>
    <t xml:space="preserve">3. Rótulos de Vistas</t>
  </si>
  <si>
    <t xml:space="preserve">Categoría de la app evaluada</t>
  </si>
  <si>
    <t xml:space="preserve">Juegos</t>
  </si>
  <si>
    <t xml:space="preserve">4. Layout</t>
  </si>
  <si>
    <t xml:space="preserve">Plataforma móvil</t>
  </si>
  <si>
    <t xml:space="preserve">Android</t>
  </si>
  <si>
    <t xml:space="preserve">5. Lenjuaje</t>
  </si>
  <si>
    <t xml:space="preserve">Versión de la plataforma móvil</t>
  </si>
  <si>
    <t xml:space="preserve">1.10.8</t>
  </si>
  <si>
    <t xml:space="preserve">6. Control</t>
  </si>
  <si>
    <t xml:space="preserve">7. Elementos Multimedia</t>
  </si>
  <si>
    <t xml:space="preserve">Total</t>
  </si>
  <si>
    <t xml:space="preserve">Cómo usar esta evaluación</t>
  </si>
  <si>
    <t xml:space="preserve">1. Rellenar los datos generales de la app a evaluar</t>
  </si>
  <si>
    <t xml:space="preserve">2. Evaluar los criterios de cada concepto (SI/NO/PARCIALMENTE) según las indicaciones que se incluyen</t>
  </si>
  <si>
    <r>
      <rPr>
        <b val="true"/>
        <sz val="12"/>
        <color rgb="FF000000"/>
        <rFont val="Calibri"/>
        <family val="2"/>
        <charset val="1"/>
      </rPr>
      <t xml:space="preserve">CRITERIOS DEL "IDENTIDAD E INFORMACIÓN": </t>
    </r>
    <r>
      <rPr>
        <sz val="12"/>
        <color rgb="FF000000"/>
        <rFont val="Calibri"/>
        <family val="2"/>
        <charset val="1"/>
      </rPr>
      <t xml:space="preserve">Elementos relacionados con la identidad de la app, la información proporcionada sobre la empresa y la autoría de los contenidos. </t>
    </r>
  </si>
  <si>
    <t xml:space="preserve">Código</t>
  </si>
  <si>
    <t xml:space="preserve">Criterio</t>
  </si>
  <si>
    <t xml:space="preserve">Valor</t>
  </si>
  <si>
    <t xml:space="preserve">Captura</t>
  </si>
  <si>
    <t xml:space="preserve">II.1</t>
  </si>
  <si>
    <t xml:space="preserve">Identidad o logotipo significativo, identificable y suficientemente visible</t>
  </si>
  <si>
    <t xml:space="preserve">Si</t>
  </si>
  <si>
    <t xml:space="preserve">Logotipo de League of Legends, juego más popular de Riot</t>
  </si>
  <si>
    <t xml:space="preserve">II.2</t>
  </si>
  <si>
    <t xml:space="preserve">Identidad de la app en todas las páginas</t>
  </si>
  <si>
    <t xml:space="preserve">No</t>
  </si>
  <si>
    <t xml:space="preserve">Sin necesidad de insertar esta en todas las páginas</t>
  </si>
  <si>
    <t xml:space="preserve">II.3</t>
  </si>
  <si>
    <t xml:space="preserve">Eslogan adecuado al objetivo del sitio</t>
  </si>
  <si>
    <t xml:space="preserve">No proporcionan un eslogan</t>
  </si>
  <si>
    <t xml:space="preserve">II.4</t>
  </si>
  <si>
    <t xml:space="preserve">Se ofrece información sobre la empresa</t>
  </si>
  <si>
    <t xml:space="preserve">Esa información se encuentra en la web oficial y no la incorporaron</t>
  </si>
  <si>
    <t xml:space="preserve">II.5</t>
  </si>
  <si>
    <t xml:space="preserve">Existen mecanismos de contacto</t>
  </si>
  <si>
    <t xml:space="preserve">La aplicación incluye un botón para acceder a la web de asistencia</t>
  </si>
  <si>
    <t xml:space="preserve">II.6</t>
  </si>
  <si>
    <t xml:space="preserve">Se ofrece información sobre el autor, fuentes y fechas de creación</t>
  </si>
  <si>
    <t xml:space="preserve">No incorporan dicha información en la aplicación</t>
  </si>
  <si>
    <t xml:space="preserve">Total de Si</t>
  </si>
  <si>
    <t xml:space="preserve">Total de No</t>
  </si>
  <si>
    <r>
      <rPr>
        <b val="true"/>
        <sz val="12"/>
        <color rgb="FF000000"/>
        <rFont val="Calibri"/>
        <family val="2"/>
        <charset val="1"/>
      </rPr>
      <t xml:space="preserve">CRITERIOS DEL "ESTRUCTURA Y NAVEGACIÓN":</t>
    </r>
    <r>
      <rPr>
        <sz val="12"/>
        <color rgb="FF000000"/>
        <rFont val="Calibri"/>
        <family val="2"/>
        <charset val="1"/>
      </rPr>
      <t xml:space="preserve"> Elementos relacionados con la idoneidad de la arquitectura de la información y la navegación</t>
    </r>
  </si>
  <si>
    <t xml:space="preserve">EN.1</t>
  </si>
  <si>
    <t xml:space="preserve">Se ha evitado un botón o pantalla de entrada para iniciar la app</t>
  </si>
  <si>
    <t xml:space="preserve">A excepción de la primera vez para iniciar sesión (En Riot, Google, Facebook o Apple Account)</t>
  </si>
  <si>
    <t xml:space="preserve">EN.2</t>
  </si>
  <si>
    <t xml:space="preserve">Estructura de organización y navegación adecuada</t>
  </si>
  <si>
    <t xml:space="preserve">Cada sección está completamente dividida para que el usuario investigue donde desee</t>
  </si>
  <si>
    <t xml:space="preserve">EN.3</t>
  </si>
  <si>
    <t xml:space="preserve">Opciones de acción fácilmente reconocibles como tales</t>
  </si>
  <si>
    <t xml:space="preserve">Cada botón/sección está fácilmente clarificada con diferentes iconos</t>
  </si>
  <si>
    <t xml:space="preserve">EN.4</t>
  </si>
  <si>
    <t xml:space="preserve">Existe siempre un botón para volver al inicio de cada vista</t>
  </si>
  <si>
    <t xml:space="preserve">Con pulsar en el propio icono de sección, te envía a lo alto de la sección</t>
  </si>
  <si>
    <t xml:space="preserve">EN.5</t>
  </si>
  <si>
    <t xml:space="preserve">Existen elementos de navegación que orienten al usuario acerca de dónde está y cómo volver</t>
  </si>
  <si>
    <t xml:space="preserve">Siempre tiene en vista todas las secciones y en caso de entrar en otro dispone de una flecha de retroceso</t>
  </si>
  <si>
    <t xml:space="preserve">EN.6</t>
  </si>
  <si>
    <t xml:space="preserve">Existe un botón para acceder directamente a los contenidos</t>
  </si>
  <si>
    <t xml:space="preserve">Basta con pulsar encima de lo que el usuario desee ver y entra al instante</t>
  </si>
  <si>
    <r>
      <rPr>
        <b val="true"/>
        <sz val="12"/>
        <color rgb="FF000000"/>
        <rFont val="Calibri"/>
        <family val="2"/>
        <charset val="1"/>
      </rPr>
      <t xml:space="preserve">CRITERIOS DEL "ROTULADO":</t>
    </r>
    <r>
      <rPr>
        <sz val="12"/>
        <color rgb="FF000000"/>
        <rFont val="Calibri"/>
        <family val="2"/>
        <charset val="1"/>
      </rPr>
      <t xml:space="preserve"> Elementos relacionados con la significación, corrección y familiaridad del rotulado de los contenidos. </t>
    </r>
  </si>
  <si>
    <t xml:space="preserve">RO.1</t>
  </si>
  <si>
    <t xml:space="preserve">Rótulos significativos</t>
  </si>
  <si>
    <t xml:space="preserve">De letras grandes, se leen sin dificultad y aclaran que es lo que el usuario va a ver</t>
  </si>
  <si>
    <t xml:space="preserve">RO.2</t>
  </si>
  <si>
    <t xml:space="preserve">Sistema de rotulado controlado y preciso</t>
  </si>
  <si>
    <t xml:space="preserve">Siempre centrado y con letras grandes</t>
  </si>
  <si>
    <t xml:space="preserve">RO.3</t>
  </si>
  <si>
    <t xml:space="preserve">Título de las páginas, correcto y planificado</t>
  </si>
  <si>
    <t xml:space="preserve">Concisos y precisos en todo momento</t>
  </si>
  <si>
    <t xml:space="preserve">RO.4</t>
  </si>
  <si>
    <t xml:space="preserve">¿El tipo de fuente, los efectos, ancho de línea y alineación empleados facilitan la lectura?</t>
  </si>
  <si>
    <t xml:space="preserve">Parcialmente</t>
  </si>
  <si>
    <t xml:space="preserve">Puede sentirse muy pequeña y con su color puede costar a gente con algún que otro problema de visión</t>
  </si>
  <si>
    <r>
      <rPr>
        <b val="true"/>
        <sz val="12"/>
        <color rgb="FF000000"/>
        <rFont val="Calibri"/>
        <family val="2"/>
        <charset val="1"/>
      </rPr>
      <t xml:space="preserve">CRITERIOS DEL "LAYOUT DE LA APP": </t>
    </r>
    <r>
      <rPr>
        <sz val="12"/>
        <color rgb="FF000000"/>
        <rFont val="Calibri"/>
        <family val="2"/>
        <charset val="1"/>
      </rPr>
      <t xml:space="preserve">Elementos relacionados con la distribución y el aspecto de los elementos de navegación e información de cada interfaz</t>
    </r>
  </si>
  <si>
    <t xml:space="preserve">LA.1</t>
  </si>
  <si>
    <t xml:space="preserve">Se ha evitado la sobrecarga informativa</t>
  </si>
  <si>
    <t xml:space="preserve">Cada parte ocupa parte de la pantalla, pudiendo distinguir cuando es una diferente</t>
  </si>
  <si>
    <t xml:space="preserve">LA.2</t>
  </si>
  <si>
    <t xml:space="preserve">Es una interfaz limpia, sin ruido visual</t>
  </si>
  <si>
    <t xml:space="preserve">La limpieza entre secciones es la suficiente para centrarse en lo deseado</t>
  </si>
  <si>
    <t xml:space="preserve">LA.3</t>
  </si>
  <si>
    <t xml:space="preserve">Existen zonas en blanco entre los objetos informativos de la página para poder descansar la vista</t>
  </si>
  <si>
    <t xml:space="preserve">La única separación entre partes es una linea que encaja con el estilo visual</t>
  </si>
  <si>
    <t xml:space="preserve">LA.4</t>
  </si>
  <si>
    <t xml:space="preserve">Uso correcto del espacio visual de la página</t>
  </si>
  <si>
    <t xml:space="preserve">Las partes siempre ocupan el espacio indicado sin colarse en el espacio de otra parte</t>
  </si>
  <si>
    <t xml:space="preserve">LA.5</t>
  </si>
  <si>
    <t xml:space="preserve">Se ha controlado el factor de forma y giro de orientación del dispositivo móvil</t>
  </si>
  <si>
    <t xml:space="preserve">Funciona de esta manera con videos en reproducción</t>
  </si>
  <si>
    <t xml:space="preserve">LA.6</t>
  </si>
  <si>
    <t xml:space="preserve">El texto se lee sin dificultad</t>
  </si>
  <si>
    <t xml:space="preserve">Los títulos se leen sin problema, dentro de un articulo puede ser más complejo</t>
  </si>
  <si>
    <r>
      <rPr>
        <b val="true"/>
        <sz val="12"/>
        <color rgb="FF000000"/>
        <rFont val="Calibri"/>
        <family val="2"/>
        <charset val="1"/>
      </rPr>
      <t xml:space="preserve">CRITERIOS DEL "ENTENDIBILIDAD Y FACILIDAD EN LA INTERACCIÓN": </t>
    </r>
    <r>
      <rPr>
        <sz val="12"/>
        <color rgb="FF000000"/>
        <rFont val="Calibri"/>
        <family val="2"/>
        <charset val="1"/>
      </rPr>
      <t xml:space="preserve">Elementos relacionados con la adecuación y calidad de los contenidos textuales, iconos y controles de la interfaz.</t>
    </r>
  </si>
  <si>
    <t xml:space="preserve">EF.1</t>
  </si>
  <si>
    <t xml:space="preserve">Se emplea un lenguaje claro y conciso</t>
  </si>
  <si>
    <t xml:space="preserve">Todo se explica sin rodeos ni complicaciones</t>
  </si>
  <si>
    <t xml:space="preserve">EF.2</t>
  </si>
  <si>
    <t xml:space="preserve">Lenguaje  amigable, familiar y cercano</t>
  </si>
  <si>
    <t xml:space="preserve">Salvo por un par de términos usados en el juego, todo es cercano y entendible</t>
  </si>
  <si>
    <t xml:space="preserve">EF.3</t>
  </si>
  <si>
    <t xml:space="preserve">Iconos reconocibles y comprensibles por cualquier usuario</t>
  </si>
  <si>
    <t xml:space="preserve">Usuarios más veteranos pueden reconocerlos, otros más nuevos pueden reconocer una vez hayan pasado más tiempo</t>
  </si>
  <si>
    <t xml:space="preserve">EF.4</t>
  </si>
  <si>
    <t xml:space="preserve">Si se usan menús desplegables, orden coherente o alfabético</t>
  </si>
  <si>
    <t xml:space="preserve">En orden coherente, 1 único menú desplegable a la izquierda del todo</t>
  </si>
  <si>
    <t xml:space="preserve">EF.5</t>
  </si>
  <si>
    <t xml:space="preserve">Si el usuario tiene que rellenar un campo, las opciones  disponibles se pueden seleccionar en vez de tener que escribirlas</t>
  </si>
  <si>
    <t xml:space="preserve">Se suele rellenar 1 único campo al iniciar sesión desde cuenta de Riot</t>
  </si>
  <si>
    <t xml:space="preserve">EF.6</t>
  </si>
  <si>
    <t xml:space="preserve">¿Se hace uso de elementos visuales para ayudar a comprender más fácilmente la información?</t>
  </si>
  <si>
    <t xml:space="preserve">Una vez se entra en una sección es fácil reconocer a que pertenece sin necesidad de palabras</t>
  </si>
  <si>
    <r>
      <rPr>
        <b val="true"/>
        <sz val="12"/>
        <color rgb="FF000000"/>
        <rFont val="Calibri"/>
        <family val="2"/>
        <charset val="1"/>
      </rPr>
      <t xml:space="preserve">CRITERIOS DEL "CONTROL ": </t>
    </r>
    <r>
      <rPr>
        <sz val="12"/>
        <color rgb="FF000000"/>
        <rFont val="Calibri"/>
        <family val="2"/>
        <charset val="1"/>
      </rPr>
      <t xml:space="preserve">Elementos relacionados con la adecuación y calidad de los contenidos textuales, iconos y controles de la interfaz.</t>
    </r>
  </si>
  <si>
    <t xml:space="preserve">CR.1</t>
  </si>
  <si>
    <t xml:space="preserve">El usuario tiene todo el control sobre la interfaz</t>
  </si>
  <si>
    <t xml:space="preserve">La interfaz es fija y no se puede modificar de ninguna manera</t>
  </si>
  <si>
    <t xml:space="preserve">CR.2</t>
  </si>
  <si>
    <t xml:space="preserve">Se informa al usuario acerca de lo que está pasando</t>
  </si>
  <si>
    <t xml:space="preserve">No se le suele indicar a menos que sean casos muy específicos</t>
  </si>
  <si>
    <t xml:space="preserve">CR.3</t>
  </si>
  <si>
    <t xml:space="preserve">Se informa al usuario de lo que ha pasado</t>
  </si>
  <si>
    <t xml:space="preserve">Una vez se ha solucionado un problema suelen informar de cuando ha sido arreglado</t>
  </si>
  <si>
    <t xml:space="preserve">CR.4</t>
  </si>
  <si>
    <t xml:space="preserve">Cuando se produce un error, se informa de forma clara y no alarmista al usuario de lo ocurrido y de cómo solucionar el problema</t>
  </si>
  <si>
    <t xml:space="preserve">Suelen incluir un icono en lo alto de sus Apps para indicar que error es y cuando estará solucionado más o menos</t>
  </si>
  <si>
    <t xml:space="preserve">CR.5</t>
  </si>
  <si>
    <t xml:space="preserve">Se ha controlado el tiempo de respuesta de cada gesto producido</t>
  </si>
  <si>
    <t xml:space="preserve">Por lo general no suele tardar mucho tiempo en responder a la pulsación del usuario</t>
  </si>
  <si>
    <t xml:space="preserve">CR.6</t>
  </si>
  <si>
    <t xml:space="preserve">Se ha evitado que las vistas secundarias anulen la vista principal</t>
  </si>
  <si>
    <t xml:space="preserve">Cuando se abre una noticia, la vista principal cambia a una nueva de lo seleccionado</t>
  </si>
  <si>
    <t xml:space="preserve">CR.7</t>
  </si>
  <si>
    <t xml:space="preserve">Se ha evitado la proliferación de acciones en la pantalla del usuario</t>
  </si>
  <si>
    <t xml:space="preserve">CR.8</t>
  </si>
  <si>
    <t xml:space="preserve">Si existen tareas de varios pasos, se indica al usuario en cual está y cuantos faltan para completar la tarea</t>
  </si>
  <si>
    <t xml:space="preserve">Indicado por lo general al fondo de la sección indicando el tiempo promedio para realizarlo</t>
  </si>
  <si>
    <r>
      <rPr>
        <b val="true"/>
        <sz val="12"/>
        <color rgb="FF000000"/>
        <rFont val="Calibri"/>
        <family val="2"/>
        <charset val="1"/>
      </rPr>
      <t xml:space="preserve">CRITERIOS DEL "ELEMENTOS MULTIMEDIA":</t>
    </r>
    <r>
      <rPr>
        <sz val="12"/>
        <color rgb="FF000000"/>
        <rFont val="Calibri"/>
        <family val="2"/>
        <charset val="1"/>
      </rPr>
      <t xml:space="preserve"> Elementos relacionados con el grado de adecuación de los contenidos multimedia a la app</t>
    </r>
  </si>
  <si>
    <t xml:space="preserve">EM.1</t>
  </si>
  <si>
    <t xml:space="preserve">Iconos dimensionados al factor de forma del dispositivo</t>
  </si>
  <si>
    <t xml:space="preserve">No ocupan mucho espacio y siempre accesibles en la vista principal</t>
  </si>
  <si>
    <t xml:space="preserve">EM.2</t>
  </si>
  <si>
    <t xml:space="preserve">Iconos comprensibles y con significado</t>
  </si>
  <si>
    <t xml:space="preserve">Suelen poner un texto acompañando, pero si no lo hay puede resultar algo confuso para usuarios nuevos</t>
  </si>
  <si>
    <t xml:space="preserve">EM.3</t>
  </si>
  <si>
    <t xml:space="preserve">El uso de imágenes o animaciones proporciona algún tipo de valor añadido</t>
  </si>
  <si>
    <t xml:space="preserve">No hay animaciones de ningún tipo, al contrario de imagenes que si hay algunas con significado</t>
  </si>
  <si>
    <t xml:space="preserve">EM.4</t>
  </si>
  <si>
    <t xml:space="preserve">Se ha evitado el uso de animaciones que distraigan al usuario cuando realiza una acción</t>
  </si>
  <si>
    <t xml:space="preserve">Literalmente no hay ninguna animación en toda la aplicación</t>
  </si>
  <si>
    <t xml:space="preserve">EM.5</t>
  </si>
  <si>
    <t xml:space="preserve">El uso de un sonido o alerta proporciona algún tipo de valor añadido</t>
  </si>
  <si>
    <t xml:space="preserve">La App no tiene sistema de notificaciones a menos que se reciba un mensaje de otro usuario.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</si>
</sst>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dd/mm/yyyy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i val="true"/>
      <sz val="20"/>
      <color rgb="FF000000"/>
      <name val="Calibri"/>
      <family val="2"/>
      <charset val="1"/>
    </font>
    <font>
      <b val="true"/>
      <i val="true"/>
      <sz val="12"/>
      <color rgb="FF000000"/>
      <name val="Calibri"/>
      <family val="2"/>
      <charset val="1"/>
    </font>
    <font>
      <b val="true"/>
      <i val="true"/>
      <sz val="14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CC"/>
      </patternFill>
    </fill>
    <fill>
      <patternFill patternType="solid">
        <fgColor rgb="FF999999"/>
        <bgColor rgb="FF808080"/>
      </patternFill>
    </fill>
    <fill>
      <patternFill patternType="solid">
        <fgColor rgb="FFCCCCCC"/>
        <bgColor rgb="FFC0C0C0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>
        <color rgb="FF3D3D3D"/>
      </left>
      <right style="thin">
        <color rgb="FF3D3D3D"/>
      </right>
      <top style="thin">
        <color rgb="FF3D3D3D"/>
      </top>
      <bottom style="thin">
        <color rgb="FF3D3D3D"/>
      </bottom>
      <diagonal/>
    </border>
    <border diagonalUp="false" diagonalDown="false">
      <left style="hair">
        <color rgb="FF3D3D3D"/>
      </left>
      <right style="hair">
        <color rgb="FF3D3D3D"/>
      </right>
      <top style="hair">
        <color rgb="FF3D3D3D"/>
      </top>
      <bottom style="hair">
        <color rgb="FF3D3D3D"/>
      </bottom>
      <diagonal/>
    </border>
    <border diagonalUp="false" diagonalDown="false">
      <left style="hair">
        <color rgb="FF808080"/>
      </left>
      <right style="hair">
        <color rgb="FF808080"/>
      </right>
      <top/>
      <bottom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4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2" borderId="1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ncabezado" xfId="21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C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99999"/>
      <rgbColor rgb="FF003366"/>
      <rgbColor rgb="FF339966"/>
      <rgbColor rgb="FF003300"/>
      <rgbColor rgb="FF333300"/>
      <rgbColor rgb="FF993300"/>
      <rgbColor rgb="FF993366"/>
      <rgbColor rgb="FF333399"/>
      <rgbColor rgb="FF3D3D3D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externalLink" Target="externalLinks/externalLink1.xml"/><Relationship Id="rId11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30.png"/><Relationship Id="rId2" Type="http://schemas.openxmlformats.org/officeDocument/2006/relationships/image" Target="../media/image31.png"/><Relationship Id="rId3" Type="http://schemas.openxmlformats.org/officeDocument/2006/relationships/image" Target="../media/image3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74880</xdr:colOff>
      <xdr:row>2</xdr:row>
      <xdr:rowOff>29160</xdr:rowOff>
    </xdr:from>
    <xdr:to>
      <xdr:col>3</xdr:col>
      <xdr:colOff>752040</xdr:colOff>
      <xdr:row>2</xdr:row>
      <xdr:rowOff>581760</xdr:rowOff>
    </xdr:to>
    <xdr:pic>
      <xdr:nvPicPr>
        <xdr:cNvPr id="0" name="Imagen 1" descr=""/>
        <xdr:cNvPicPr/>
      </xdr:nvPicPr>
      <xdr:blipFill>
        <a:blip r:embed="rId1"/>
        <a:stretch/>
      </xdr:blipFill>
      <xdr:spPr>
        <a:xfrm>
          <a:off x="9313920" y="419400"/>
          <a:ext cx="677160" cy="5526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47160</xdr:colOff>
      <xdr:row>3</xdr:row>
      <xdr:rowOff>134640</xdr:rowOff>
    </xdr:from>
    <xdr:to>
      <xdr:col>3</xdr:col>
      <xdr:colOff>883440</xdr:colOff>
      <xdr:row>3</xdr:row>
      <xdr:rowOff>1675440</xdr:rowOff>
    </xdr:to>
    <xdr:pic>
      <xdr:nvPicPr>
        <xdr:cNvPr id="1" name="Imagen 2_0" descr=""/>
        <xdr:cNvPicPr/>
      </xdr:nvPicPr>
      <xdr:blipFill>
        <a:blip r:embed="rId2"/>
        <a:stretch/>
      </xdr:blipFill>
      <xdr:spPr>
        <a:xfrm>
          <a:off x="9286200" y="1140840"/>
          <a:ext cx="836280" cy="15408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83520</xdr:colOff>
      <xdr:row>6</xdr:row>
      <xdr:rowOff>48240</xdr:rowOff>
    </xdr:from>
    <xdr:to>
      <xdr:col>3</xdr:col>
      <xdr:colOff>855720</xdr:colOff>
      <xdr:row>6</xdr:row>
      <xdr:rowOff>1265040</xdr:rowOff>
    </xdr:to>
    <xdr:pic>
      <xdr:nvPicPr>
        <xdr:cNvPr id="2" name="Imagen 3_0" descr=""/>
        <xdr:cNvPicPr/>
      </xdr:nvPicPr>
      <xdr:blipFill>
        <a:blip r:embed="rId3"/>
        <a:stretch/>
      </xdr:blipFill>
      <xdr:spPr>
        <a:xfrm>
          <a:off x="9322560" y="3273840"/>
          <a:ext cx="772200" cy="121680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ome/cesar/Descargas/home/cgg/Descargas/ud-1-ficha-evaluacion-usabilidad-web.xls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os sitio"/>
      <sheetName val="1, Aspectos generales"/>
      <sheetName val="2, Identidad e Información"/>
      <sheetName val="3, Estructura y navegación"/>
      <sheetName val="4, Rotulado"/>
      <sheetName val="5, Layout de la página"/>
      <sheetName val="6, Entendibilidad y Facilidad"/>
      <sheetName val="7, Control y Retoalimentación"/>
      <sheetName val="8, Elementos multimedia"/>
      <sheetName val="9, Búsqueda"/>
      <sheetName val="10, Ayuda"/>
      <sheetName val="Cálculo de % usabilidad"/>
      <sheetName val="Tablas de relevancia"/>
      <sheetName val="Valor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image" Target="../media/image29.png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H24"/>
  <sheetViews>
    <sheetView showFormulas="false" showGridLines="true" showRowColHeaders="true" showZeros="true" rightToLeft="false" tabSelected="true" showOutlineSymbols="true" defaultGridColor="true" view="normal" topLeftCell="C1" colorId="64" zoomScale="100" zoomScaleNormal="100" zoomScalePageLayoutView="100" workbookViewId="0">
      <selection pane="topLeft" activeCell="F24" activeCellId="0" sqref="F24"/>
    </sheetView>
  </sheetViews>
  <sheetFormatPr defaultColWidth="11.421875" defaultRowHeight="15" zeroHeight="false" outlineLevelRow="0" outlineLevelCol="0"/>
  <cols>
    <col collapsed="false" customWidth="true" hidden="false" outlineLevel="0" max="1" min="1" style="1" width="1.71"/>
    <col collapsed="false" customWidth="true" hidden="false" outlineLevel="0" max="2" min="2" style="1" width="29.84"/>
    <col collapsed="false" customWidth="true" hidden="false" outlineLevel="0" max="3" min="3" style="1" width="47.13"/>
    <col collapsed="false" customWidth="false" hidden="false" outlineLevel="0" max="5" min="4" style="1" width="11.42"/>
    <col collapsed="false" customWidth="true" hidden="false" outlineLevel="0" max="6" min="6" style="1" width="25.36"/>
    <col collapsed="false" customWidth="true" hidden="false" outlineLevel="0" max="7" min="7" style="1" width="16.65"/>
    <col collapsed="false" customWidth="true" hidden="false" outlineLevel="0" max="8" min="8" style="1" width="15.43"/>
    <col collapsed="false" customWidth="false" hidden="false" outlineLevel="0" max="257" min="9" style="1" width="11.42"/>
  </cols>
  <sheetData>
    <row r="1" customFormat="false" ht="26.25" hidden="false" customHeight="false" outlineLevel="0" collapsed="false">
      <c r="B1" s="2" t="s">
        <v>0</v>
      </c>
      <c r="C1" s="3"/>
    </row>
    <row r="2" customFormat="false" ht="18.75" hidden="false" customHeight="false" outlineLevel="0" collapsed="false">
      <c r="B2" s="4" t="s">
        <v>1</v>
      </c>
      <c r="C2" s="3"/>
    </row>
    <row r="3" customFormat="false" ht="15.75" hidden="false" customHeight="false" outlineLevel="0" collapsed="false">
      <c r="B3" s="5" t="s">
        <v>2</v>
      </c>
      <c r="C3" s="3"/>
    </row>
    <row r="5" customFormat="false" ht="15" hidden="false" customHeight="false" outlineLevel="0" collapsed="false">
      <c r="B5" s="5" t="s">
        <v>3</v>
      </c>
      <c r="C5" s="6"/>
    </row>
    <row r="8" customFormat="false" ht="15" hidden="false" customHeight="false" outlineLevel="0" collapsed="false">
      <c r="B8" s="7" t="s">
        <v>4</v>
      </c>
      <c r="F8" s="8" t="s">
        <v>5</v>
      </c>
      <c r="G8" s="8" t="s">
        <v>6</v>
      </c>
      <c r="H8" s="8" t="s">
        <v>7</v>
      </c>
    </row>
    <row r="9" customFormat="false" ht="13.8" hidden="false" customHeight="false" outlineLevel="0" collapsed="false">
      <c r="B9" s="9" t="s">
        <v>8</v>
      </c>
      <c r="C9" s="10" t="s">
        <v>9</v>
      </c>
      <c r="F9" s="11" t="s">
        <v>10</v>
      </c>
      <c r="G9" s="12" t="n">
        <f aca="false">'1. Aspectos Generales'!C9</f>
        <v>2</v>
      </c>
      <c r="H9" s="12" t="n">
        <f aca="false">'1. Aspectos Generales'!C10</f>
        <v>4</v>
      </c>
    </row>
    <row r="10" customFormat="false" ht="13.8" hidden="false" customHeight="false" outlineLevel="0" collapsed="false">
      <c r="B10" s="9" t="s">
        <v>11</v>
      </c>
      <c r="C10" s="13" t="n">
        <v>44463</v>
      </c>
      <c r="F10" s="11" t="s">
        <v>12</v>
      </c>
      <c r="G10" s="12" t="n">
        <f aca="false">'2. Estructura y Navegación'!C9</f>
        <v>6</v>
      </c>
      <c r="H10" s="12" t="n">
        <f aca="false">'2. Estructura y Navegación'!C10</f>
        <v>0</v>
      </c>
    </row>
    <row r="11" customFormat="false" ht="13.8" hidden="false" customHeight="false" outlineLevel="0" collapsed="false">
      <c r="B11" s="9" t="s">
        <v>13</v>
      </c>
      <c r="C11" s="10" t="s">
        <v>14</v>
      </c>
      <c r="F11" s="11" t="s">
        <v>15</v>
      </c>
      <c r="G11" s="12" t="n">
        <f aca="false">'3. Rótulos de vistas'!C7</f>
        <v>3</v>
      </c>
      <c r="H11" s="12" t="n">
        <f aca="false">'3. Rótulos de vistas'!C8</f>
        <v>0</v>
      </c>
    </row>
    <row r="12" customFormat="false" ht="13.8" hidden="false" customHeight="false" outlineLevel="0" collapsed="false">
      <c r="B12" s="9" t="s">
        <v>16</v>
      </c>
      <c r="C12" s="10" t="s">
        <v>17</v>
      </c>
      <c r="F12" s="11" t="s">
        <v>18</v>
      </c>
      <c r="G12" s="12" t="n">
        <f aca="false">'4. Layout'!C9</f>
        <v>3</v>
      </c>
      <c r="H12" s="12" t="n">
        <f aca="false">'4. Layout'!C10</f>
        <v>1</v>
      </c>
    </row>
    <row r="13" customFormat="false" ht="13.8" hidden="false" customHeight="false" outlineLevel="0" collapsed="false">
      <c r="B13" s="9" t="s">
        <v>19</v>
      </c>
      <c r="C13" s="10" t="s">
        <v>20</v>
      </c>
      <c r="F13" s="11" t="s">
        <v>21</v>
      </c>
      <c r="G13" s="12" t="n">
        <f aca="false">'5. Lenguaje'!C9</f>
        <v>4</v>
      </c>
      <c r="H13" s="12" t="n">
        <f aca="false">'5. Lenguaje'!C10</f>
        <v>0</v>
      </c>
    </row>
    <row r="14" customFormat="false" ht="13.8" hidden="false" customHeight="false" outlineLevel="0" collapsed="false">
      <c r="B14" s="9" t="s">
        <v>22</v>
      </c>
      <c r="C14" s="10" t="s">
        <v>23</v>
      </c>
      <c r="F14" s="11" t="s">
        <v>24</v>
      </c>
      <c r="G14" s="12" t="n">
        <f aca="false">'6. Control'!C11</f>
        <v>4</v>
      </c>
      <c r="H14" s="12" t="n">
        <f aca="false">'6. Control'!C12</f>
        <v>3</v>
      </c>
    </row>
    <row r="15" customFormat="false" ht="13.8" hidden="false" customHeight="false" outlineLevel="0" collapsed="false">
      <c r="F15" s="11" t="s">
        <v>25</v>
      </c>
      <c r="G15" s="12" t="n">
        <f aca="false">'7. Elementos multimedia'!C8</f>
        <v>2</v>
      </c>
      <c r="H15" s="12" t="n">
        <f aca="false">'7. Elementos multimedia'!C9</f>
        <v>2</v>
      </c>
    </row>
    <row r="16" customFormat="false" ht="13.8" hidden="false" customHeight="false" outlineLevel="0" collapsed="false">
      <c r="F16" s="14" t="s">
        <v>26</v>
      </c>
      <c r="G16" s="14" t="n">
        <f aca="false">SUM(G9:G14)</f>
        <v>22</v>
      </c>
      <c r="H16" s="14" t="n">
        <f aca="false">SUM(H9:H15)</f>
        <v>10</v>
      </c>
    </row>
    <row r="17" customFormat="false" ht="15.75" hidden="false" customHeight="false" outlineLevel="0" collapsed="false">
      <c r="B17" s="15" t="s">
        <v>27</v>
      </c>
    </row>
    <row r="18" customFormat="false" ht="15" hidden="false" customHeight="false" outlineLevel="0" collapsed="false">
      <c r="B18" s="0"/>
    </row>
    <row r="19" customFormat="false" ht="15" hidden="false" customHeight="false" outlineLevel="0" collapsed="false">
      <c r="B19" s="0" t="s">
        <v>28</v>
      </c>
    </row>
    <row r="20" customFormat="false" ht="15" hidden="false" customHeight="false" outlineLevel="0" collapsed="false">
      <c r="B20" s="0" t="s">
        <v>29</v>
      </c>
    </row>
    <row r="24" customFormat="false" ht="13.8" hidden="false" customHeight="false" outlineLevel="0" collapsed="false">
      <c r="F24" s="16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4" activeCellId="0" sqref="B24"/>
    </sheetView>
  </sheetViews>
  <sheetFormatPr defaultColWidth="10.96484375" defaultRowHeight="15" zeroHeight="false" outlineLevelRow="0" outlineLevelCol="0"/>
  <cols>
    <col collapsed="false" customWidth="true" hidden="false" outlineLevel="0" max="2" min="2" style="0" width="81.98"/>
    <col collapsed="false" customWidth="true" hidden="false" outlineLevel="0" max="5" min="5" style="0" width="56.66"/>
  </cols>
  <sheetData>
    <row r="1" customFormat="false" ht="15.75" hidden="false" customHeight="false" outlineLevel="0" collapsed="false">
      <c r="A1" s="17" t="s">
        <v>30</v>
      </c>
    </row>
    <row r="2" customFormat="false" ht="15" hidden="false" customHeight="false" outlineLevel="0" collapsed="false">
      <c r="A2" s="18" t="s">
        <v>31</v>
      </c>
      <c r="B2" s="18" t="s">
        <v>32</v>
      </c>
      <c r="C2" s="19" t="s">
        <v>33</v>
      </c>
      <c r="D2" s="19" t="s">
        <v>34</v>
      </c>
    </row>
    <row r="3" customFormat="false" ht="48.5" hidden="false" customHeight="true" outlineLevel="0" collapsed="false">
      <c r="A3" s="20" t="s">
        <v>35</v>
      </c>
      <c r="B3" s="20" t="s">
        <v>36</v>
      </c>
      <c r="C3" s="21" t="s">
        <v>37</v>
      </c>
      <c r="D3" s="21"/>
      <c r="E3" s="0" t="s">
        <v>38</v>
      </c>
    </row>
    <row r="4" customFormat="false" ht="144.75" hidden="false" customHeight="true" outlineLevel="0" collapsed="false">
      <c r="A4" s="20" t="s">
        <v>39</v>
      </c>
      <c r="B4" s="20" t="s">
        <v>40</v>
      </c>
      <c r="C4" s="21" t="s">
        <v>41</v>
      </c>
      <c r="D4" s="21"/>
      <c r="E4" s="0" t="s">
        <v>42</v>
      </c>
    </row>
    <row r="5" customFormat="false" ht="15" hidden="false" customHeight="false" outlineLevel="0" collapsed="false">
      <c r="A5" s="20" t="s">
        <v>43</v>
      </c>
      <c r="B5" s="20" t="s">
        <v>44</v>
      </c>
      <c r="C5" s="21" t="s">
        <v>41</v>
      </c>
      <c r="D5" s="21"/>
      <c r="E5" s="0" t="s">
        <v>45</v>
      </c>
    </row>
    <row r="6" customFormat="false" ht="15" hidden="false" customHeight="false" outlineLevel="0" collapsed="false">
      <c r="A6" s="20" t="s">
        <v>46</v>
      </c>
      <c r="B6" s="20" t="s">
        <v>47</v>
      </c>
      <c r="C6" s="21" t="s">
        <v>41</v>
      </c>
      <c r="D6" s="21"/>
      <c r="E6" s="0" t="s">
        <v>48</v>
      </c>
    </row>
    <row r="7" customFormat="false" ht="111.9" hidden="false" customHeight="true" outlineLevel="0" collapsed="false">
      <c r="A7" s="20" t="s">
        <v>49</v>
      </c>
      <c r="B7" s="20" t="s">
        <v>50</v>
      </c>
      <c r="C7" s="21" t="s">
        <v>37</v>
      </c>
      <c r="D7" s="21"/>
      <c r="E7" s="0" t="s">
        <v>51</v>
      </c>
    </row>
    <row r="8" customFormat="false" ht="15" hidden="false" customHeight="false" outlineLevel="0" collapsed="false">
      <c r="A8" s="20" t="s">
        <v>52</v>
      </c>
      <c r="B8" s="22" t="s">
        <v>53</v>
      </c>
      <c r="C8" s="21" t="s">
        <v>41</v>
      </c>
      <c r="D8" s="21"/>
      <c r="E8" s="0" t="s">
        <v>54</v>
      </c>
    </row>
    <row r="9" customFormat="false" ht="13.8" hidden="false" customHeight="false" outlineLevel="0" collapsed="false">
      <c r="B9" s="14" t="s">
        <v>55</v>
      </c>
      <c r="C9" s="0" t="n">
        <f aca="false">COUNTIF(C3:C8,"Si")</f>
        <v>2</v>
      </c>
    </row>
    <row r="10" customFormat="false" ht="13.8" hidden="false" customHeight="false" outlineLevel="0" collapsed="false">
      <c r="B10" s="14" t="s">
        <v>56</v>
      </c>
      <c r="C10" s="0" t="n">
        <f aca="false">COUNTIF(C3:C8,"No")</f>
        <v>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B9" activeCellId="0" sqref="B9"/>
    </sheetView>
  </sheetViews>
  <sheetFormatPr defaultColWidth="10.96484375" defaultRowHeight="15" zeroHeight="false" outlineLevelRow="0" outlineLevelCol="0"/>
  <cols>
    <col collapsed="false" customWidth="true" hidden="false" outlineLevel="0" max="2" min="2" style="0" width="89.4"/>
    <col collapsed="false" customWidth="true" hidden="false" outlineLevel="0" max="5" min="5" style="0" width="91.51"/>
  </cols>
  <sheetData>
    <row r="1" customFormat="false" ht="15.75" hidden="false" customHeight="false" outlineLevel="0" collapsed="false">
      <c r="A1" s="17" t="s">
        <v>57</v>
      </c>
    </row>
    <row r="2" customFormat="false" ht="15" hidden="false" customHeight="false" outlineLevel="0" collapsed="false">
      <c r="A2" s="18" t="s">
        <v>31</v>
      </c>
      <c r="B2" s="18" t="s">
        <v>32</v>
      </c>
      <c r="C2" s="19" t="s">
        <v>33</v>
      </c>
      <c r="D2" s="19" t="s">
        <v>34</v>
      </c>
    </row>
    <row r="3" customFormat="false" ht="15" hidden="false" customHeight="false" outlineLevel="0" collapsed="false">
      <c r="A3" s="23" t="s">
        <v>58</v>
      </c>
      <c r="B3" s="23" t="s">
        <v>59</v>
      </c>
      <c r="C3" s="24" t="s">
        <v>37</v>
      </c>
      <c r="D3" s="24"/>
      <c r="E3" s="0" t="s">
        <v>60</v>
      </c>
    </row>
    <row r="4" customFormat="false" ht="15" hidden="false" customHeight="false" outlineLevel="0" collapsed="false">
      <c r="A4" s="23" t="s">
        <v>61</v>
      </c>
      <c r="B4" s="23" t="s">
        <v>62</v>
      </c>
      <c r="C4" s="24" t="s">
        <v>37</v>
      </c>
      <c r="D4" s="24"/>
      <c r="E4" s="0" t="s">
        <v>63</v>
      </c>
    </row>
    <row r="5" customFormat="false" ht="15" hidden="false" customHeight="false" outlineLevel="0" collapsed="false">
      <c r="A5" s="23" t="s">
        <v>64</v>
      </c>
      <c r="B5" s="25" t="s">
        <v>65</v>
      </c>
      <c r="C5" s="24" t="s">
        <v>37</v>
      </c>
      <c r="D5" s="24"/>
      <c r="E5" s="0" t="s">
        <v>66</v>
      </c>
    </row>
    <row r="6" customFormat="false" ht="14.15" hidden="false" customHeight="true" outlineLevel="0" collapsed="false">
      <c r="A6" s="23" t="s">
        <v>67</v>
      </c>
      <c r="B6" s="23" t="s">
        <v>68</v>
      </c>
      <c r="C6" s="24" t="s">
        <v>37</v>
      </c>
      <c r="D6" s="24"/>
      <c r="E6" s="0" t="s">
        <v>69</v>
      </c>
    </row>
    <row r="7" customFormat="false" ht="15" hidden="false" customHeight="false" outlineLevel="0" collapsed="false">
      <c r="A7" s="23" t="s">
        <v>70</v>
      </c>
      <c r="B7" s="25" t="s">
        <v>71</v>
      </c>
      <c r="C7" s="24" t="s">
        <v>37</v>
      </c>
      <c r="D7" s="24"/>
      <c r="E7" s="0" t="s">
        <v>72</v>
      </c>
    </row>
    <row r="8" customFormat="false" ht="15" hidden="false" customHeight="false" outlineLevel="0" collapsed="false">
      <c r="A8" s="23" t="s">
        <v>73</v>
      </c>
      <c r="B8" s="25" t="s">
        <v>74</v>
      </c>
      <c r="C8" s="24" t="s">
        <v>37</v>
      </c>
      <c r="D8" s="24"/>
      <c r="E8" s="0" t="s">
        <v>75</v>
      </c>
    </row>
    <row r="9" customFormat="false" ht="13.8" hidden="false" customHeight="false" outlineLevel="0" collapsed="false">
      <c r="B9" s="14" t="s">
        <v>55</v>
      </c>
      <c r="C9" s="0" t="n">
        <f aca="false">COUNTIF(C3:C8,"Si")</f>
        <v>6</v>
      </c>
    </row>
    <row r="10" customFormat="false" ht="13.8" hidden="false" customHeight="false" outlineLevel="0" collapsed="false">
      <c r="B10" s="14" t="s">
        <v>56</v>
      </c>
      <c r="C10" s="0" t="n">
        <f aca="false">COUNTIF(C3:C8,"No")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8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B7" activeCellId="0" sqref="B7"/>
    </sheetView>
  </sheetViews>
  <sheetFormatPr defaultColWidth="10.96484375" defaultRowHeight="15" zeroHeight="false" outlineLevelRow="0" outlineLevelCol="0"/>
  <cols>
    <col collapsed="false" customWidth="true" hidden="false" outlineLevel="0" max="2" min="2" style="0" width="79.49"/>
    <col collapsed="false" customWidth="true" hidden="false" outlineLevel="0" max="3" min="3" style="0" width="14.44"/>
    <col collapsed="false" customWidth="true" hidden="false" outlineLevel="0" max="5" min="5" style="0" width="71.11"/>
    <col collapsed="false" customWidth="true" hidden="false" outlineLevel="0" max="6" min="6" style="0" width="36.05"/>
  </cols>
  <sheetData>
    <row r="1" customFormat="false" ht="15.75" hidden="false" customHeight="false" outlineLevel="0" collapsed="false">
      <c r="A1" s="17" t="s">
        <v>76</v>
      </c>
    </row>
    <row r="2" customFormat="false" ht="15.8" hidden="false" customHeight="false" outlineLevel="0" collapsed="false">
      <c r="A2" s="18" t="s">
        <v>31</v>
      </c>
      <c r="B2" s="18" t="s">
        <v>32</v>
      </c>
      <c r="C2" s="19" t="s">
        <v>33</v>
      </c>
      <c r="D2" s="19" t="s">
        <v>34</v>
      </c>
      <c r="E2" s="26"/>
    </row>
    <row r="3" customFormat="false" ht="15" hidden="false" customHeight="false" outlineLevel="0" collapsed="false">
      <c r="A3" s="23" t="s">
        <v>77</v>
      </c>
      <c r="B3" s="23" t="s">
        <v>78</v>
      </c>
      <c r="C3" s="24" t="s">
        <v>37</v>
      </c>
      <c r="D3" s="24"/>
      <c r="E3" s="0" t="s">
        <v>79</v>
      </c>
    </row>
    <row r="4" customFormat="false" ht="15" hidden="false" customHeight="false" outlineLevel="0" collapsed="false">
      <c r="A4" s="23" t="s">
        <v>80</v>
      </c>
      <c r="B4" s="23" t="s">
        <v>81</v>
      </c>
      <c r="C4" s="24" t="s">
        <v>37</v>
      </c>
      <c r="D4" s="24"/>
      <c r="E4" s="0" t="s">
        <v>82</v>
      </c>
    </row>
    <row r="5" customFormat="false" ht="15" hidden="false" customHeight="false" outlineLevel="0" collapsed="false">
      <c r="A5" s="23" t="s">
        <v>83</v>
      </c>
      <c r="B5" s="23" t="s">
        <v>84</v>
      </c>
      <c r="C5" s="24" t="s">
        <v>37</v>
      </c>
      <c r="D5" s="24"/>
      <c r="E5" s="0" t="s">
        <v>85</v>
      </c>
    </row>
    <row r="6" customFormat="false" ht="31.3" hidden="false" customHeight="true" outlineLevel="0" collapsed="false">
      <c r="A6" s="16" t="s">
        <v>86</v>
      </c>
      <c r="B6" s="0" t="s">
        <v>87</v>
      </c>
      <c r="C6" s="24" t="s">
        <v>88</v>
      </c>
      <c r="D6" s="24"/>
      <c r="E6" s="27" t="s">
        <v>89</v>
      </c>
    </row>
    <row r="7" customFormat="false" ht="13.8" hidden="false" customHeight="false" outlineLevel="0" collapsed="false">
      <c r="B7" s="14" t="s">
        <v>55</v>
      </c>
      <c r="C7" s="0" t="n">
        <f aca="false">COUNTIF(C3:C6,"Si")</f>
        <v>3</v>
      </c>
    </row>
    <row r="8" customFormat="false" ht="13.8" hidden="false" customHeight="false" outlineLevel="0" collapsed="false">
      <c r="B8" s="14" t="s">
        <v>56</v>
      </c>
      <c r="C8" s="0" t="n">
        <f aca="false">COUNTIF(C3:C6,"No")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3" activeCellId="0" sqref="B13"/>
    </sheetView>
  </sheetViews>
  <sheetFormatPr defaultColWidth="10.96484375" defaultRowHeight="15" zeroHeight="false" outlineLevelRow="0" outlineLevelCol="0"/>
  <cols>
    <col collapsed="false" customWidth="true" hidden="false" outlineLevel="0" max="2" min="2" style="0" width="86.83"/>
    <col collapsed="false" customWidth="true" hidden="false" outlineLevel="0" max="3" min="3" style="0" width="12.78"/>
    <col collapsed="false" customWidth="true" hidden="false" outlineLevel="0" max="5" min="5" style="0" width="72.66"/>
  </cols>
  <sheetData>
    <row r="1" customFormat="false" ht="15.75" hidden="false" customHeight="false" outlineLevel="0" collapsed="false">
      <c r="A1" s="17" t="s">
        <v>90</v>
      </c>
    </row>
    <row r="2" customFormat="false" ht="15.8" hidden="false" customHeight="false" outlineLevel="0" collapsed="false">
      <c r="A2" s="18" t="s">
        <v>31</v>
      </c>
      <c r="B2" s="18" t="s">
        <v>32</v>
      </c>
      <c r="C2" s="19" t="s">
        <v>33</v>
      </c>
      <c r="D2" s="19" t="s">
        <v>34</v>
      </c>
      <c r="E2" s="28"/>
    </row>
    <row r="3" customFormat="false" ht="15" hidden="false" customHeight="false" outlineLevel="0" collapsed="false">
      <c r="A3" s="23" t="s">
        <v>91</v>
      </c>
      <c r="B3" s="23" t="s">
        <v>92</v>
      </c>
      <c r="C3" s="24" t="s">
        <v>37</v>
      </c>
      <c r="D3" s="24"/>
      <c r="E3" s="0" t="s">
        <v>93</v>
      </c>
    </row>
    <row r="4" customFormat="false" ht="15" hidden="false" customHeight="false" outlineLevel="0" collapsed="false">
      <c r="A4" s="23" t="s">
        <v>94</v>
      </c>
      <c r="B4" s="23" t="s">
        <v>95</v>
      </c>
      <c r="C4" s="24" t="s">
        <v>37</v>
      </c>
      <c r="D4" s="24"/>
      <c r="E4" s="0" t="s">
        <v>96</v>
      </c>
    </row>
    <row r="5" customFormat="false" ht="15.75" hidden="false" customHeight="true" outlineLevel="0" collapsed="false">
      <c r="A5" s="23" t="s">
        <v>97</v>
      </c>
      <c r="B5" s="25" t="s">
        <v>98</v>
      </c>
      <c r="C5" s="24" t="s">
        <v>41</v>
      </c>
      <c r="D5" s="24"/>
      <c r="E5" s="0" t="s">
        <v>99</v>
      </c>
    </row>
    <row r="6" customFormat="false" ht="15" hidden="false" customHeight="false" outlineLevel="0" collapsed="false">
      <c r="A6" s="23" t="s">
        <v>100</v>
      </c>
      <c r="B6" s="25" t="s">
        <v>101</v>
      </c>
      <c r="C6" s="24" t="s">
        <v>37</v>
      </c>
      <c r="D6" s="24"/>
      <c r="E6" s="0" t="s">
        <v>102</v>
      </c>
    </row>
    <row r="7" customFormat="false" ht="55.2" hidden="false" customHeight="true" outlineLevel="0" collapsed="false">
      <c r="A7" s="23" t="s">
        <v>103</v>
      </c>
      <c r="B7" s="25" t="s">
        <v>104</v>
      </c>
      <c r="C7" s="24" t="s">
        <v>88</v>
      </c>
      <c r="E7" s="29" t="s">
        <v>105</v>
      </c>
    </row>
    <row r="8" customFormat="false" ht="15" hidden="false" customHeight="false" outlineLevel="0" collapsed="false">
      <c r="A8" s="23" t="s">
        <v>106</v>
      </c>
      <c r="B8" s="23" t="s">
        <v>107</v>
      </c>
      <c r="C8" s="24" t="s">
        <v>88</v>
      </c>
      <c r="D8" s="24"/>
      <c r="E8" s="0" t="s">
        <v>108</v>
      </c>
    </row>
    <row r="9" customFormat="false" ht="13.8" hidden="false" customHeight="false" outlineLevel="0" collapsed="false">
      <c r="B9" s="14" t="s">
        <v>55</v>
      </c>
      <c r="C9" s="0" t="n">
        <f aca="false">COUNTIF(C3:C8,"Si")</f>
        <v>3</v>
      </c>
    </row>
    <row r="10" customFormat="false" ht="13.8" hidden="false" customHeight="false" outlineLevel="0" collapsed="false">
      <c r="B10" s="14" t="s">
        <v>56</v>
      </c>
      <c r="C10" s="0" t="n">
        <f aca="false">COUNTIF(C3:C8,"No")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2" activeCellId="0" sqref="B12"/>
    </sheetView>
  </sheetViews>
  <sheetFormatPr defaultColWidth="10.96484375" defaultRowHeight="15" zeroHeight="false" outlineLevelRow="0" outlineLevelCol="0"/>
  <cols>
    <col collapsed="false" customWidth="true" hidden="false" outlineLevel="0" max="2" min="2" style="0" width="86.13"/>
    <col collapsed="false" customWidth="true" hidden="false" outlineLevel="0" max="3" min="3" style="0" width="16.1"/>
    <col collapsed="false" customWidth="true" hidden="false" outlineLevel="0" max="5" min="5" style="0" width="79.49"/>
  </cols>
  <sheetData>
    <row r="1" customFormat="false" ht="15.75" hidden="false" customHeight="false" outlineLevel="0" collapsed="false">
      <c r="A1" s="17" t="s">
        <v>109</v>
      </c>
    </row>
    <row r="2" customFormat="false" ht="15.8" hidden="false" customHeight="false" outlineLevel="0" collapsed="false">
      <c r="A2" s="18" t="s">
        <v>31</v>
      </c>
      <c r="B2" s="18" t="s">
        <v>32</v>
      </c>
      <c r="C2" s="19" t="s">
        <v>33</v>
      </c>
      <c r="D2" s="19" t="s">
        <v>34</v>
      </c>
      <c r="E2" s="26"/>
    </row>
    <row r="3" customFormat="false" ht="15" hidden="false" customHeight="false" outlineLevel="0" collapsed="false">
      <c r="A3" s="23" t="s">
        <v>110</v>
      </c>
      <c r="B3" s="25" t="s">
        <v>111</v>
      </c>
      <c r="C3" s="24" t="s">
        <v>37</v>
      </c>
      <c r="D3" s="24"/>
      <c r="E3" s="0" t="s">
        <v>112</v>
      </c>
    </row>
    <row r="4" customFormat="false" ht="15" hidden="false" customHeight="false" outlineLevel="0" collapsed="false">
      <c r="A4" s="23" t="s">
        <v>113</v>
      </c>
      <c r="B4" s="23" t="s">
        <v>114</v>
      </c>
      <c r="C4" s="24" t="s">
        <v>37</v>
      </c>
      <c r="D4" s="24"/>
      <c r="E4" s="0" t="s">
        <v>115</v>
      </c>
    </row>
    <row r="5" customFormat="false" ht="42.5" hidden="false" customHeight="true" outlineLevel="0" collapsed="false">
      <c r="A5" s="23" t="s">
        <v>116</v>
      </c>
      <c r="B5" s="25" t="s">
        <v>117</v>
      </c>
      <c r="C5" s="24" t="s">
        <v>88</v>
      </c>
      <c r="D5" s="24"/>
      <c r="E5" s="27" t="s">
        <v>118</v>
      </c>
    </row>
    <row r="6" customFormat="false" ht="15" hidden="false" customHeight="false" outlineLevel="0" collapsed="false">
      <c r="A6" s="23" t="s">
        <v>119</v>
      </c>
      <c r="B6" s="25" t="s">
        <v>120</v>
      </c>
      <c r="C6" s="24" t="s">
        <v>37</v>
      </c>
      <c r="D6" s="24"/>
      <c r="E6" s="0" t="s">
        <v>121</v>
      </c>
    </row>
    <row r="7" customFormat="false" ht="17.9" hidden="false" customHeight="true" outlineLevel="0" collapsed="false">
      <c r="A7" s="23" t="s">
        <v>122</v>
      </c>
      <c r="B7" s="25" t="s">
        <v>123</v>
      </c>
      <c r="C7" s="24" t="s">
        <v>88</v>
      </c>
      <c r="D7" s="24"/>
      <c r="E7" s="27" t="s">
        <v>124</v>
      </c>
    </row>
    <row r="8" customFormat="false" ht="15" hidden="false" customHeight="false" outlineLevel="0" collapsed="false">
      <c r="A8" s="30" t="s">
        <v>125</v>
      </c>
      <c r="B8" s="0" t="s">
        <v>126</v>
      </c>
      <c r="C8" s="24" t="s">
        <v>37</v>
      </c>
      <c r="D8" s="24"/>
      <c r="E8" s="0" t="s">
        <v>127</v>
      </c>
    </row>
    <row r="9" customFormat="false" ht="13.8" hidden="false" customHeight="false" outlineLevel="0" collapsed="false">
      <c r="B9" s="14" t="s">
        <v>55</v>
      </c>
      <c r="C9" s="0" t="n">
        <f aca="false">COUNTIF(C3:C8,"Si")</f>
        <v>4</v>
      </c>
    </row>
    <row r="10" customFormat="false" ht="13.8" hidden="false" customHeight="false" outlineLevel="0" collapsed="false">
      <c r="B10" s="14" t="s">
        <v>56</v>
      </c>
      <c r="C10" s="0" t="n">
        <f aca="false">COUNTIF(C2:C8,"No")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1" activeCellId="0" sqref="B11"/>
    </sheetView>
  </sheetViews>
  <sheetFormatPr defaultColWidth="10.96484375" defaultRowHeight="15" zeroHeight="false" outlineLevelRow="0" outlineLevelCol="0"/>
  <cols>
    <col collapsed="false" customWidth="true" hidden="false" outlineLevel="0" max="2" min="2" style="0" width="61.68"/>
    <col collapsed="false" customWidth="true" hidden="false" outlineLevel="0" max="3" min="3" style="0" width="14.11"/>
    <col collapsed="false" customWidth="true" hidden="false" outlineLevel="0" max="5" min="5" style="0" width="77.95"/>
  </cols>
  <sheetData>
    <row r="1" customFormat="false" ht="15.75" hidden="false" customHeight="false" outlineLevel="0" collapsed="false">
      <c r="A1" s="17" t="s">
        <v>128</v>
      </c>
    </row>
    <row r="2" customFormat="false" ht="13.8" hidden="false" customHeight="false" outlineLevel="0" collapsed="false">
      <c r="A2" s="18" t="s">
        <v>31</v>
      </c>
      <c r="B2" s="18" t="s">
        <v>32</v>
      </c>
      <c r="C2" s="19" t="s">
        <v>33</v>
      </c>
      <c r="D2" s="19" t="s">
        <v>34</v>
      </c>
      <c r="E2" s="28"/>
    </row>
    <row r="3" customFormat="false" ht="15" hidden="false" customHeight="false" outlineLevel="0" collapsed="false">
      <c r="A3" s="23" t="s">
        <v>129</v>
      </c>
      <c r="B3" s="25" t="s">
        <v>130</v>
      </c>
      <c r="C3" s="24" t="s">
        <v>41</v>
      </c>
      <c r="D3" s="24"/>
      <c r="E3" s="0" t="s">
        <v>131</v>
      </c>
    </row>
    <row r="4" customFormat="false" ht="15" hidden="false" customHeight="false" outlineLevel="0" collapsed="false">
      <c r="A4" s="23" t="s">
        <v>132</v>
      </c>
      <c r="B4" s="23" t="s">
        <v>133</v>
      </c>
      <c r="C4" s="24" t="s">
        <v>41</v>
      </c>
      <c r="D4" s="24"/>
      <c r="E4" s="0" t="s">
        <v>134</v>
      </c>
    </row>
    <row r="5" customFormat="false" ht="15" hidden="false" customHeight="false" outlineLevel="0" collapsed="false">
      <c r="A5" s="23" t="s">
        <v>135</v>
      </c>
      <c r="B5" s="23" t="s">
        <v>136</v>
      </c>
      <c r="C5" s="24" t="s">
        <v>37</v>
      </c>
      <c r="D5" s="24"/>
      <c r="E5" s="0" t="s">
        <v>137</v>
      </c>
    </row>
    <row r="6" customFormat="false" ht="35.05" hidden="false" customHeight="true" outlineLevel="0" collapsed="false">
      <c r="A6" s="23" t="s">
        <v>138</v>
      </c>
      <c r="B6" s="25" t="s">
        <v>139</v>
      </c>
      <c r="C6" s="24" t="s">
        <v>88</v>
      </c>
      <c r="D6" s="24"/>
      <c r="E6" s="27" t="s">
        <v>140</v>
      </c>
    </row>
    <row r="7" customFormat="false" ht="15" hidden="false" customHeight="false" outlineLevel="0" collapsed="false">
      <c r="A7" s="23" t="s">
        <v>141</v>
      </c>
      <c r="B7" s="25" t="s">
        <v>142</v>
      </c>
      <c r="C7" s="24" t="s">
        <v>37</v>
      </c>
      <c r="D7" s="24"/>
      <c r="E7" s="0" t="s">
        <v>143</v>
      </c>
    </row>
    <row r="8" customFormat="false" ht="15" hidden="false" customHeight="false" outlineLevel="0" collapsed="false">
      <c r="A8" s="23" t="s">
        <v>144</v>
      </c>
      <c r="B8" s="25" t="s">
        <v>145</v>
      </c>
      <c r="C8" s="24" t="s">
        <v>41</v>
      </c>
      <c r="D8" s="24"/>
      <c r="E8" s="0" t="s">
        <v>146</v>
      </c>
    </row>
    <row r="9" customFormat="false" ht="15" hidden="false" customHeight="false" outlineLevel="0" collapsed="false">
      <c r="A9" s="23" t="s">
        <v>147</v>
      </c>
      <c r="B9" s="23" t="s">
        <v>148</v>
      </c>
      <c r="C9" s="24" t="s">
        <v>37</v>
      </c>
      <c r="D9" s="24"/>
    </row>
    <row r="10" customFormat="false" ht="30" hidden="false" customHeight="false" outlineLevel="0" collapsed="false">
      <c r="A10" s="23" t="s">
        <v>149</v>
      </c>
      <c r="B10" s="25" t="s">
        <v>150</v>
      </c>
      <c r="C10" s="24" t="s">
        <v>37</v>
      </c>
      <c r="D10" s="24"/>
      <c r="E10" s="0" t="s">
        <v>151</v>
      </c>
    </row>
    <row r="11" customFormat="false" ht="13.8" hidden="false" customHeight="false" outlineLevel="0" collapsed="false">
      <c r="B11" s="14" t="s">
        <v>55</v>
      </c>
      <c r="C11" s="0" t="n">
        <f aca="false">COUNTIF(C3:C10,"Si")</f>
        <v>4</v>
      </c>
    </row>
    <row r="12" customFormat="false" ht="13.8" hidden="false" customHeight="false" outlineLevel="0" collapsed="false">
      <c r="B12" s="14" t="s">
        <v>56</v>
      </c>
      <c r="C12" s="0" t="n">
        <f aca="false">COUNTIF(C3:C10,"No")</f>
        <v>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9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B8" activeCellId="0" sqref="B8"/>
    </sheetView>
  </sheetViews>
  <sheetFormatPr defaultColWidth="10.96484375" defaultRowHeight="15" zeroHeight="false" outlineLevelRow="0" outlineLevelCol="0"/>
  <cols>
    <col collapsed="false" customWidth="true" hidden="false" outlineLevel="0" max="2" min="2" style="0" width="81.4"/>
    <col collapsed="false" customWidth="true" hidden="false" outlineLevel="0" max="3" min="3" style="0" width="14.33"/>
    <col collapsed="false" customWidth="true" hidden="false" outlineLevel="0" max="5" min="5" style="0" width="82.58"/>
  </cols>
  <sheetData>
    <row r="1" customFormat="false" ht="15.75" hidden="false" customHeight="false" outlineLevel="0" collapsed="false">
      <c r="A1" s="17" t="s">
        <v>152</v>
      </c>
    </row>
    <row r="2" customFormat="false" ht="15.8" hidden="false" customHeight="false" outlineLevel="0" collapsed="false">
      <c r="A2" s="18" t="s">
        <v>31</v>
      </c>
      <c r="B2" s="18" t="s">
        <v>32</v>
      </c>
      <c r="C2" s="19" t="s">
        <v>33</v>
      </c>
      <c r="D2" s="19" t="s">
        <v>34</v>
      </c>
      <c r="E2" s="28"/>
    </row>
    <row r="3" customFormat="false" ht="15" hidden="false" customHeight="false" outlineLevel="0" collapsed="false">
      <c r="A3" s="23" t="s">
        <v>153</v>
      </c>
      <c r="B3" s="25" t="s">
        <v>154</v>
      </c>
      <c r="C3" s="24" t="s">
        <v>37</v>
      </c>
      <c r="D3" s="24"/>
      <c r="E3" s="0" t="s">
        <v>155</v>
      </c>
    </row>
    <row r="4" customFormat="false" ht="27.6" hidden="false" customHeight="true" outlineLevel="0" collapsed="false">
      <c r="A4" s="23" t="s">
        <v>156</v>
      </c>
      <c r="B4" s="23" t="s">
        <v>157</v>
      </c>
      <c r="C4" s="24" t="s">
        <v>88</v>
      </c>
      <c r="D4" s="24"/>
      <c r="E4" s="27" t="s">
        <v>158</v>
      </c>
    </row>
    <row r="5" customFormat="false" ht="15" hidden="false" customHeight="false" outlineLevel="0" collapsed="false">
      <c r="A5" s="23" t="s">
        <v>159</v>
      </c>
      <c r="B5" s="25" t="s">
        <v>160</v>
      </c>
      <c r="C5" s="24" t="s">
        <v>41</v>
      </c>
      <c r="D5" s="24"/>
      <c r="E5" s="0" t="s">
        <v>161</v>
      </c>
    </row>
    <row r="6" customFormat="false" ht="15" hidden="false" customHeight="false" outlineLevel="0" collapsed="false">
      <c r="A6" s="23" t="s">
        <v>162</v>
      </c>
      <c r="B6" s="25" t="s">
        <v>163</v>
      </c>
      <c r="C6" s="24" t="s">
        <v>37</v>
      </c>
      <c r="D6" s="24"/>
      <c r="E6" s="0" t="s">
        <v>164</v>
      </c>
    </row>
    <row r="7" customFormat="false" ht="15" hidden="false" customHeight="false" outlineLevel="0" collapsed="false">
      <c r="A7" s="23" t="s">
        <v>165</v>
      </c>
      <c r="B7" s="25" t="s">
        <v>166</v>
      </c>
      <c r="C7" s="24" t="s">
        <v>41</v>
      </c>
      <c r="D7" s="24"/>
      <c r="E7" s="0" t="s">
        <v>167</v>
      </c>
    </row>
    <row r="8" customFormat="false" ht="13.8" hidden="false" customHeight="false" outlineLevel="0" collapsed="false">
      <c r="B8" s="14" t="s">
        <v>55</v>
      </c>
      <c r="C8" s="12" t="n">
        <f aca="false">COUNTIF(C3:C7,"Si")</f>
        <v>2</v>
      </c>
    </row>
    <row r="9" customFormat="false" ht="13.8" hidden="false" customHeight="false" outlineLevel="0" collapsed="false">
      <c r="B9" s="14" t="s">
        <v>56</v>
      </c>
      <c r="C9" s="12" t="n">
        <f aca="false">COUNTIF(C3:C7,"No")</f>
        <v>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2021-09-29T15:26:03Z</dcterms:created>
  <dc:creator/>
  <dc:description/>
  <dc:language>es-ES</dc:language>
  <cp:lastModifiedBy/>
  <dcterms:modified xsi:type="dcterms:W3CDTF">2021-09-29T18:01:28Z</dcterms:modified>
  <cp:revision>8</cp:revision>
  <dc:subject/>
  <dc:title/>
</cp:coreProperties>
</file>